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aave\Downloads\"/>
    </mc:Choice>
  </mc:AlternateContent>
  <xr:revisionPtr revIDLastSave="0" documentId="13_ncr:1_{1BD3B8BD-72C9-439E-9F35-D74E5057CA92}" xr6:coauthVersionLast="47" xr6:coauthVersionMax="47" xr10:uidLastSave="{00000000-0000-0000-0000-000000000000}"/>
  <bookViews>
    <workbookView xWindow="18045" yWindow="0" windowWidth="19335" windowHeight="15420" activeTab="1" xr2:uid="{00000000-000D-0000-FFFF-FFFF00000000}"/>
  </bookViews>
  <sheets>
    <sheet name="Data Source" sheetId="1" r:id="rId1"/>
    <sheet name="Predictive Model" sheetId="2" r:id="rId2"/>
  </sheets>
  <definedNames>
    <definedName name="ATT">'Data Source'!$K$2:$K$21</definedName>
    <definedName name="avg">'Data Source'!$G$24</definedName>
    <definedName name="DEF">'Data Source'!$L$2:$L$21</definedName>
    <definedName name="Teams">'Data Source'!$B$2:$B$21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2" i="2" l="1"/>
  <c r="B24" i="2"/>
  <c r="G2" i="2"/>
  <c r="F2" i="2"/>
  <c r="F8" i="2"/>
  <c r="E8" i="2"/>
  <c r="D8" i="2"/>
  <c r="C8" i="2"/>
  <c r="C4" i="2"/>
  <c r="D10" i="2" s="1"/>
  <c r="B4" i="2"/>
  <c r="C12" i="2" s="1"/>
  <c r="G24" i="1"/>
  <c r="L17" i="1" s="1"/>
  <c r="K21" i="1"/>
  <c r="L20" i="1"/>
  <c r="K20" i="1"/>
  <c r="L19" i="1"/>
  <c r="K19" i="1"/>
  <c r="L18" i="1"/>
  <c r="K18" i="1"/>
  <c r="L9" i="1"/>
  <c r="K9" i="1"/>
  <c r="L8" i="1"/>
  <c r="K8" i="1"/>
  <c r="L7" i="1"/>
  <c r="K7" i="1"/>
  <c r="L6" i="1"/>
  <c r="K6" i="1"/>
  <c r="G25" i="2" l="1"/>
  <c r="G26" i="2"/>
  <c r="F10" i="2"/>
  <c r="C10" i="2"/>
  <c r="D9" i="2"/>
  <c r="E12" i="2" s="1"/>
  <c r="D19" i="2"/>
  <c r="F19" i="2" s="1"/>
  <c r="C11" i="2"/>
  <c r="D18" i="2"/>
  <c r="F18" i="2" s="1"/>
  <c r="D17" i="2"/>
  <c r="F17" i="2" s="1"/>
  <c r="D15" i="2"/>
  <c r="F15" i="2" s="1"/>
  <c r="D16" i="2"/>
  <c r="F16" i="2" s="1"/>
  <c r="D14" i="2"/>
  <c r="F14" i="2" s="1"/>
  <c r="D13" i="2"/>
  <c r="F13" i="2" s="1"/>
  <c r="D12" i="2"/>
  <c r="F12" i="2" s="1"/>
  <c r="D11" i="2"/>
  <c r="C19" i="2"/>
  <c r="C18" i="2"/>
  <c r="C17" i="2"/>
  <c r="C16" i="2"/>
  <c r="C9" i="2"/>
  <c r="C15" i="2"/>
  <c r="C14" i="2"/>
  <c r="C13" i="2"/>
  <c r="L12" i="1"/>
  <c r="K13" i="1"/>
  <c r="L13" i="1"/>
  <c r="L21" i="1"/>
  <c r="K10" i="1"/>
  <c r="K11" i="1"/>
  <c r="L11" i="1"/>
  <c r="L10" i="1"/>
  <c r="K12" i="1"/>
  <c r="K2" i="1"/>
  <c r="K14" i="1"/>
  <c r="L2" i="1"/>
  <c r="L14" i="1"/>
  <c r="K3" i="1"/>
  <c r="K15" i="1"/>
  <c r="L3" i="1"/>
  <c r="L15" i="1"/>
  <c r="K4" i="1"/>
  <c r="K16" i="1"/>
  <c r="L4" i="1"/>
  <c r="L16" i="1"/>
  <c r="K5" i="1"/>
  <c r="K17" i="1"/>
  <c r="L5" i="1"/>
  <c r="F32" i="2" l="1"/>
  <c r="F24" i="2"/>
  <c r="F29" i="2"/>
  <c r="F34" i="2"/>
  <c r="F27" i="2"/>
  <c r="F25" i="2"/>
  <c r="F33" i="2"/>
  <c r="F30" i="2"/>
  <c r="F28" i="2"/>
  <c r="F26" i="2"/>
  <c r="E11" i="2"/>
  <c r="F31" i="2"/>
  <c r="E24" i="2"/>
  <c r="E29" i="2"/>
  <c r="E32" i="2"/>
  <c r="E34" i="2"/>
  <c r="E10" i="2"/>
  <c r="E27" i="2"/>
  <c r="E25" i="2"/>
  <c r="E30" i="2"/>
  <c r="E28" i="2"/>
  <c r="E31" i="2"/>
  <c r="E33" i="2"/>
  <c r="E26" i="2"/>
  <c r="G28" i="2"/>
  <c r="H31" i="2"/>
  <c r="H34" i="2"/>
  <c r="H27" i="2"/>
  <c r="H24" i="2"/>
  <c r="H29" i="2"/>
  <c r="H32" i="2"/>
  <c r="H30" i="2"/>
  <c r="H25" i="2"/>
  <c r="H28" i="2"/>
  <c r="E13" i="2"/>
  <c r="H33" i="2"/>
  <c r="H26" i="2"/>
  <c r="I26" i="2"/>
  <c r="E14" i="2"/>
  <c r="I31" i="2"/>
  <c r="I24" i="2"/>
  <c r="I29" i="2"/>
  <c r="I34" i="2"/>
  <c r="I27" i="2"/>
  <c r="I32" i="2"/>
  <c r="I28" i="2"/>
  <c r="I25" i="2"/>
  <c r="I30" i="2"/>
  <c r="I33" i="2"/>
  <c r="J31" i="2"/>
  <c r="J26" i="2"/>
  <c r="E15" i="2"/>
  <c r="J24" i="2"/>
  <c r="J29" i="2"/>
  <c r="J34" i="2"/>
  <c r="J27" i="2"/>
  <c r="J32" i="2"/>
  <c r="J25" i="2"/>
  <c r="J30" i="2"/>
  <c r="J33" i="2"/>
  <c r="J28" i="2"/>
  <c r="G34" i="2"/>
  <c r="K33" i="2"/>
  <c r="E16" i="2"/>
  <c r="K29" i="2"/>
  <c r="K26" i="2"/>
  <c r="K31" i="2"/>
  <c r="K24" i="2"/>
  <c r="K34" i="2"/>
  <c r="K30" i="2"/>
  <c r="K28" i="2"/>
  <c r="K27" i="2"/>
  <c r="K32" i="2"/>
  <c r="K25" i="2"/>
  <c r="L33" i="2"/>
  <c r="E17" i="2"/>
  <c r="L26" i="2"/>
  <c r="L29" i="2"/>
  <c r="L31" i="2"/>
  <c r="L24" i="2"/>
  <c r="L34" i="2"/>
  <c r="L27" i="2"/>
  <c r="L32" i="2"/>
  <c r="L30" i="2"/>
  <c r="L25" i="2"/>
  <c r="L28" i="2"/>
  <c r="G29" i="2"/>
  <c r="M28" i="2"/>
  <c r="M33" i="2"/>
  <c r="M26" i="2"/>
  <c r="E18" i="2"/>
  <c r="M31" i="2"/>
  <c r="M29" i="2"/>
  <c r="M24" i="2"/>
  <c r="M32" i="2"/>
  <c r="M34" i="2"/>
  <c r="M25" i="2"/>
  <c r="M27" i="2"/>
  <c r="M30" i="2"/>
  <c r="G24" i="2"/>
  <c r="G30" i="2"/>
  <c r="G33" i="2"/>
  <c r="D24" i="2"/>
  <c r="D25" i="2"/>
  <c r="D34" i="2"/>
  <c r="D26" i="2"/>
  <c r="D27" i="2"/>
  <c r="D28" i="2"/>
  <c r="D29" i="2"/>
  <c r="D32" i="2"/>
  <c r="D30" i="2"/>
  <c r="D31" i="2"/>
  <c r="D33" i="2"/>
  <c r="G32" i="2"/>
  <c r="N33" i="2"/>
  <c r="N24" i="2"/>
  <c r="N28" i="2"/>
  <c r="E19" i="2"/>
  <c r="N26" i="2"/>
  <c r="N31" i="2"/>
  <c r="N29" i="2"/>
  <c r="N25" i="2"/>
  <c r="N34" i="2"/>
  <c r="N30" i="2"/>
  <c r="N27" i="2"/>
  <c r="N32" i="2"/>
  <c r="G27" i="2"/>
  <c r="F11" i="2"/>
  <c r="G3" i="2" s="1"/>
  <c r="G4" i="2" s="1"/>
  <c r="G31" i="2"/>
  <c r="F3" i="2" l="1"/>
  <c r="F4" i="2" l="1"/>
  <c r="H3" i="2"/>
  <c r="H4" i="2" s="1"/>
</calcChain>
</file>

<file path=xl/sharedStrings.xml><?xml version="1.0" encoding="utf-8"?>
<sst xmlns="http://schemas.openxmlformats.org/spreadsheetml/2006/main" count="47" uniqueCount="45">
  <si>
    <t>Position</t>
  </si>
  <si>
    <t>Team</t>
  </si>
  <si>
    <t>Games Played</t>
  </si>
  <si>
    <t>Wins</t>
  </si>
  <si>
    <t>Draws</t>
  </si>
  <si>
    <t>Losses</t>
  </si>
  <si>
    <t>Goals For</t>
  </si>
  <si>
    <t>Goals Against</t>
  </si>
  <si>
    <t>Goal Difference</t>
  </si>
  <si>
    <t>Points</t>
  </si>
  <si>
    <t>Attack Rating</t>
  </si>
  <si>
    <t>Defense Rating</t>
  </si>
  <si>
    <t>Inter</t>
  </si>
  <si>
    <t>AC Milan</t>
  </si>
  <si>
    <t>Juventus</t>
  </si>
  <si>
    <t>Bologna</t>
  </si>
  <si>
    <t>Roma</t>
  </si>
  <si>
    <t>Atalanta</t>
  </si>
  <si>
    <t>Lazio</t>
  </si>
  <si>
    <t>Fiorentina</t>
  </si>
  <si>
    <t>Napoli</t>
  </si>
  <si>
    <t>Torino</t>
  </si>
  <si>
    <t>Monza</t>
  </si>
  <si>
    <t>Genoa</t>
  </si>
  <si>
    <t>Lecce</t>
  </si>
  <si>
    <t>Verona</t>
  </si>
  <si>
    <t>Cagliari</t>
  </si>
  <si>
    <t>Frosinone</t>
  </si>
  <si>
    <t>Empoli</t>
  </si>
  <si>
    <t>Udinese</t>
  </si>
  <si>
    <t>Sassuolo</t>
  </si>
  <si>
    <t>Salernitana</t>
  </si>
  <si>
    <t>Average Goals</t>
  </si>
  <si>
    <t>Choose the match here</t>
  </si>
  <si>
    <t>Home</t>
  </si>
  <si>
    <t>Away</t>
  </si>
  <si>
    <t>Probability</t>
  </si>
  <si>
    <t>Draw</t>
  </si>
  <si>
    <t>Expected goals</t>
  </si>
  <si>
    <t>Betting Scores</t>
  </si>
  <si>
    <t>Poisson Distribution</t>
  </si>
  <si>
    <t>Probability of scoring x
amount of goals</t>
  </si>
  <si>
    <t>Goals</t>
  </si>
  <si>
    <t>Probability of each goals
combination</t>
  </si>
  <si>
    <t>BY HARONE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</si>
</sst>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b/>
      <i/>
      <sz val="11"/>
      <name val="Cambria"/>
      <charset val="1"/>
    </font>
    <font>
      <b/>
      <sz val="11"/>
      <name val="Cambria"/>
      <charset val="1"/>
    </font>
    <font>
      <b/>
      <sz val="13"/>
      <name val="Cambria"/>
      <charset val="1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24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C9C9C9"/>
      </patternFill>
    </fill>
    <fill>
      <patternFill patternType="solid">
        <fgColor rgb="FFF3E2C7"/>
        <bgColor rgb="FFF4DFC9"/>
      </patternFill>
    </fill>
    <fill>
      <patternFill patternType="solid">
        <fgColor rgb="FFF4DFC9"/>
        <bgColor rgb="FFF3E2C7"/>
      </patternFill>
    </fill>
    <fill>
      <patternFill patternType="solid">
        <fgColor rgb="FFF4E4B3"/>
        <bgColor rgb="FFF3E2C7"/>
      </patternFill>
    </fill>
    <fill>
      <patternFill patternType="solid">
        <fgColor rgb="FFF2F2F2"/>
        <bgColor rgb="FFF3E2C7"/>
      </patternFill>
    </fill>
    <fill>
      <patternFill patternType="solid">
        <fgColor rgb="FFB9CDE5"/>
        <bgColor rgb="FFC9C9C9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C9C9C9"/>
      </bottom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left"/>
    </xf>
    <xf numFmtId="2" fontId="2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4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/>
    </xf>
    <xf numFmtId="0" fontId="6" fillId="6" borderId="4" xfId="0" applyFont="1" applyFill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8" fillId="8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3E2C7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4DFC9"/>
      <rgbColor rgb="FFC9C9C9"/>
      <rgbColor rgb="FFFF99CC"/>
      <rgbColor rgb="FFCC99FF"/>
      <rgbColor rgb="FFF4E4B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zoomScaleNormal="100" workbookViewId="0">
      <pane ySplit="1" topLeftCell="A2" activePane="bottomLeft" state="frozen"/>
      <selection pane="bottomLeft" activeCell="G25" sqref="G25"/>
    </sheetView>
  </sheetViews>
  <sheetFormatPr defaultColWidth="8.7109375" defaultRowHeight="15" customHeight="1" x14ac:dyDescent="0.25"/>
  <cols>
    <col min="1" max="1" width="8.28515625" bestFit="1" customWidth="1"/>
    <col min="2" max="2" width="10.28515625" bestFit="1" customWidth="1"/>
    <col min="3" max="3" width="14.28515625" bestFit="1" customWidth="1"/>
    <col min="4" max="4" width="5.42578125" bestFit="1" customWidth="1"/>
    <col min="5" max="5" width="6.5703125" bestFit="1" customWidth="1"/>
    <col min="6" max="6" width="7" bestFit="1" customWidth="1"/>
    <col min="7" max="7" width="9.7109375" bestFit="1" customWidth="1"/>
    <col min="8" max="8" width="13.5703125" bestFit="1" customWidth="1"/>
    <col min="9" max="9" width="15.28515625" bestFit="1" customWidth="1"/>
    <col min="10" max="10" width="6.5703125" bestFit="1" customWidth="1"/>
    <col min="11" max="11" width="13.140625" bestFit="1" customWidth="1"/>
    <col min="12" max="12" width="14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spans="1:12" ht="18" customHeight="1" x14ac:dyDescent="0.25">
      <c r="A2" s="3">
        <v>1</v>
      </c>
      <c r="B2" s="3" t="s">
        <v>12</v>
      </c>
      <c r="C2" s="25">
        <v>35</v>
      </c>
      <c r="D2" s="25">
        <v>28</v>
      </c>
      <c r="E2" s="25">
        <v>5</v>
      </c>
      <c r="F2" s="25">
        <v>2</v>
      </c>
      <c r="G2" s="25">
        <v>81</v>
      </c>
      <c r="H2" s="25">
        <v>19</v>
      </c>
      <c r="I2" s="25">
        <v>62</v>
      </c>
      <c r="J2" s="25">
        <v>89</v>
      </c>
      <c r="K2" s="26">
        <f t="shared" ref="K2:K21" si="0">(G2/C2)/$G$24</f>
        <v>1.7925382653061226</v>
      </c>
      <c r="L2" s="26">
        <f t="shared" ref="L2:L21" si="1">(H2/C2)/$G$24</f>
        <v>0.42047193877551015</v>
      </c>
    </row>
    <row r="3" spans="1:12" ht="18" customHeight="1" x14ac:dyDescent="0.25">
      <c r="A3" s="3">
        <v>2</v>
      </c>
      <c r="B3" s="3" t="s">
        <v>13</v>
      </c>
      <c r="C3" s="25">
        <v>35</v>
      </c>
      <c r="D3" s="25">
        <v>21</v>
      </c>
      <c r="E3" s="25">
        <v>8</v>
      </c>
      <c r="F3" s="25">
        <v>6</v>
      </c>
      <c r="G3" s="25">
        <v>67</v>
      </c>
      <c r="H3" s="25">
        <v>42</v>
      </c>
      <c r="I3" s="25">
        <v>25</v>
      </c>
      <c r="J3" s="25">
        <v>71</v>
      </c>
      <c r="K3" s="26">
        <f t="shared" si="0"/>
        <v>1.4827168367346939</v>
      </c>
      <c r="L3" s="26">
        <f t="shared" si="1"/>
        <v>0.92946428571428563</v>
      </c>
    </row>
    <row r="4" spans="1:12" ht="18" customHeight="1" x14ac:dyDescent="0.25">
      <c r="A4" s="3">
        <v>3</v>
      </c>
      <c r="B4" s="3" t="s">
        <v>14</v>
      </c>
      <c r="C4" s="25">
        <v>35</v>
      </c>
      <c r="D4" s="25">
        <v>18</v>
      </c>
      <c r="E4" s="25">
        <v>12</v>
      </c>
      <c r="F4" s="25">
        <v>5</v>
      </c>
      <c r="G4" s="25">
        <v>48</v>
      </c>
      <c r="H4" s="25">
        <v>27</v>
      </c>
      <c r="I4" s="25">
        <v>21</v>
      </c>
      <c r="J4" s="25">
        <v>66</v>
      </c>
      <c r="K4" s="26">
        <f t="shared" si="0"/>
        <v>1.0622448979591836</v>
      </c>
      <c r="L4" s="26">
        <f t="shared" si="1"/>
        <v>0.59751275510204083</v>
      </c>
    </row>
    <row r="5" spans="1:12" ht="18" customHeight="1" x14ac:dyDescent="0.25">
      <c r="A5" s="3">
        <v>4</v>
      </c>
      <c r="B5" s="3" t="s">
        <v>15</v>
      </c>
      <c r="C5" s="25">
        <v>35</v>
      </c>
      <c r="D5" s="25">
        <v>17</v>
      </c>
      <c r="E5" s="25">
        <v>13</v>
      </c>
      <c r="F5" s="25">
        <v>5</v>
      </c>
      <c r="G5" s="25">
        <v>49</v>
      </c>
      <c r="H5" s="25">
        <v>27</v>
      </c>
      <c r="I5" s="25">
        <v>22</v>
      </c>
      <c r="J5" s="25">
        <v>64</v>
      </c>
      <c r="K5" s="26">
        <f t="shared" si="0"/>
        <v>1.0843749999999999</v>
      </c>
      <c r="L5" s="26">
        <f t="shared" si="1"/>
        <v>0.59751275510204083</v>
      </c>
    </row>
    <row r="6" spans="1:12" ht="18" customHeight="1" x14ac:dyDescent="0.25">
      <c r="A6" s="3">
        <v>5</v>
      </c>
      <c r="B6" s="3" t="s">
        <v>16</v>
      </c>
      <c r="C6" s="25">
        <v>35</v>
      </c>
      <c r="D6" s="25">
        <v>17</v>
      </c>
      <c r="E6" s="25">
        <v>9</v>
      </c>
      <c r="F6" s="25">
        <v>9</v>
      </c>
      <c r="G6" s="25">
        <v>62</v>
      </c>
      <c r="H6" s="25">
        <v>42</v>
      </c>
      <c r="I6" s="25">
        <v>20</v>
      </c>
      <c r="J6" s="25">
        <v>60</v>
      </c>
      <c r="K6" s="26">
        <f t="shared" si="0"/>
        <v>1.3720663265306121</v>
      </c>
      <c r="L6" s="26">
        <f t="shared" si="1"/>
        <v>0.92946428571428563</v>
      </c>
    </row>
    <row r="7" spans="1:12" ht="18" customHeight="1" x14ac:dyDescent="0.25">
      <c r="A7" s="3">
        <v>6</v>
      </c>
      <c r="B7" s="3" t="s">
        <v>17</v>
      </c>
      <c r="C7" s="25">
        <v>33</v>
      </c>
      <c r="D7" s="25">
        <v>17</v>
      </c>
      <c r="E7" s="25">
        <v>6</v>
      </c>
      <c r="F7" s="25">
        <v>10</v>
      </c>
      <c r="G7" s="25">
        <v>61</v>
      </c>
      <c r="H7" s="25">
        <v>37</v>
      </c>
      <c r="I7" s="25">
        <v>24</v>
      </c>
      <c r="J7" s="25">
        <v>57</v>
      </c>
      <c r="K7" s="26">
        <f t="shared" si="0"/>
        <v>1.4317505411255411</v>
      </c>
      <c r="L7" s="26">
        <f t="shared" si="1"/>
        <v>0.86843885281385269</v>
      </c>
    </row>
    <row r="8" spans="1:12" ht="18" customHeight="1" x14ac:dyDescent="0.25">
      <c r="A8" s="3">
        <v>7</v>
      </c>
      <c r="B8" s="3" t="s">
        <v>18</v>
      </c>
      <c r="C8" s="25">
        <v>35</v>
      </c>
      <c r="D8" s="25">
        <v>17</v>
      </c>
      <c r="E8" s="25">
        <v>5</v>
      </c>
      <c r="F8" s="25">
        <v>13</v>
      </c>
      <c r="G8" s="25">
        <v>45</v>
      </c>
      <c r="H8" s="25">
        <v>37</v>
      </c>
      <c r="I8" s="25">
        <v>8</v>
      </c>
      <c r="J8" s="25">
        <v>56</v>
      </c>
      <c r="K8" s="26">
        <f t="shared" si="0"/>
        <v>0.99585459183673475</v>
      </c>
      <c r="L8" s="26">
        <f t="shared" si="1"/>
        <v>0.81881377551020407</v>
      </c>
    </row>
    <row r="9" spans="1:12" ht="18" customHeight="1" x14ac:dyDescent="0.25">
      <c r="A9" s="3">
        <v>8</v>
      </c>
      <c r="B9" s="3" t="s">
        <v>19</v>
      </c>
      <c r="C9" s="25">
        <v>34</v>
      </c>
      <c r="D9" s="25">
        <v>14</v>
      </c>
      <c r="E9" s="25">
        <v>8</v>
      </c>
      <c r="F9" s="25">
        <v>12</v>
      </c>
      <c r="G9" s="25">
        <v>51</v>
      </c>
      <c r="H9" s="25">
        <v>39</v>
      </c>
      <c r="I9" s="25">
        <v>12</v>
      </c>
      <c r="J9" s="25">
        <v>50</v>
      </c>
      <c r="K9" s="26">
        <f t="shared" si="0"/>
        <v>1.1618303571428572</v>
      </c>
      <c r="L9" s="26">
        <f t="shared" si="1"/>
        <v>0.88845850840336127</v>
      </c>
    </row>
    <row r="10" spans="1:12" ht="18" customHeight="1" x14ac:dyDescent="0.25">
      <c r="A10" s="3">
        <v>9</v>
      </c>
      <c r="B10" s="3" t="s">
        <v>20</v>
      </c>
      <c r="C10" s="25">
        <v>34</v>
      </c>
      <c r="D10" s="25">
        <v>13</v>
      </c>
      <c r="E10" s="25">
        <v>11</v>
      </c>
      <c r="F10" s="25">
        <v>10</v>
      </c>
      <c r="G10" s="25">
        <v>52</v>
      </c>
      <c r="H10" s="25">
        <v>43</v>
      </c>
      <c r="I10" s="25">
        <v>9</v>
      </c>
      <c r="J10" s="25">
        <v>50</v>
      </c>
      <c r="K10" s="26">
        <f t="shared" si="0"/>
        <v>1.184611344537815</v>
      </c>
      <c r="L10" s="26">
        <f t="shared" si="1"/>
        <v>0.97958245798319321</v>
      </c>
    </row>
    <row r="11" spans="1:12" ht="18" customHeight="1" x14ac:dyDescent="0.25">
      <c r="A11" s="3">
        <v>10</v>
      </c>
      <c r="B11" s="3" t="s">
        <v>21</v>
      </c>
      <c r="C11" s="25">
        <v>35</v>
      </c>
      <c r="D11" s="25">
        <v>11</v>
      </c>
      <c r="E11" s="25">
        <v>14</v>
      </c>
      <c r="F11" s="25">
        <v>10</v>
      </c>
      <c r="G11" s="25">
        <v>31</v>
      </c>
      <c r="H11" s="25">
        <v>31</v>
      </c>
      <c r="I11" s="25">
        <v>0</v>
      </c>
      <c r="J11" s="25">
        <v>47</v>
      </c>
      <c r="K11" s="26">
        <f t="shared" si="0"/>
        <v>0.68603316326530606</v>
      </c>
      <c r="L11" s="26">
        <f t="shared" si="1"/>
        <v>0.68603316326530606</v>
      </c>
    </row>
    <row r="12" spans="1:12" ht="18" customHeight="1" x14ac:dyDescent="0.25">
      <c r="A12" s="3">
        <v>11</v>
      </c>
      <c r="B12" s="3" t="s">
        <v>22</v>
      </c>
      <c r="C12" s="25">
        <v>35</v>
      </c>
      <c r="D12" s="25">
        <v>11</v>
      </c>
      <c r="E12" s="25">
        <v>12</v>
      </c>
      <c r="F12" s="25">
        <v>12</v>
      </c>
      <c r="G12" s="25">
        <v>38</v>
      </c>
      <c r="H12" s="25">
        <v>46</v>
      </c>
      <c r="I12" s="25">
        <v>-8</v>
      </c>
      <c r="J12" s="25">
        <v>45</v>
      </c>
      <c r="K12" s="26">
        <f t="shared" si="0"/>
        <v>0.84094387755102029</v>
      </c>
      <c r="L12" s="26">
        <f t="shared" si="1"/>
        <v>1.017984693877551</v>
      </c>
    </row>
    <row r="13" spans="1:12" ht="18" customHeight="1" x14ac:dyDescent="0.25">
      <c r="A13" s="3">
        <v>12</v>
      </c>
      <c r="B13" s="3" t="s">
        <v>23</v>
      </c>
      <c r="C13" s="25">
        <v>35</v>
      </c>
      <c r="D13" s="25">
        <v>10</v>
      </c>
      <c r="E13" s="25">
        <v>13</v>
      </c>
      <c r="F13" s="25">
        <v>12</v>
      </c>
      <c r="G13" s="25">
        <v>41</v>
      </c>
      <c r="H13" s="25">
        <v>43</v>
      </c>
      <c r="I13" s="25">
        <v>-2</v>
      </c>
      <c r="J13" s="25">
        <v>43</v>
      </c>
      <c r="K13" s="26">
        <f t="shared" si="0"/>
        <v>0.90733418367346941</v>
      </c>
      <c r="L13" s="26">
        <f t="shared" si="1"/>
        <v>0.95159438775510208</v>
      </c>
    </row>
    <row r="14" spans="1:12" ht="18" customHeight="1" x14ac:dyDescent="0.25">
      <c r="A14" s="3">
        <v>13</v>
      </c>
      <c r="B14" s="3" t="s">
        <v>24</v>
      </c>
      <c r="C14" s="25">
        <v>35</v>
      </c>
      <c r="D14" s="25">
        <v>8</v>
      </c>
      <c r="E14" s="25">
        <v>13</v>
      </c>
      <c r="F14" s="25">
        <v>14</v>
      </c>
      <c r="G14" s="25">
        <v>32</v>
      </c>
      <c r="H14" s="25">
        <v>50</v>
      </c>
      <c r="I14" s="25">
        <v>-18</v>
      </c>
      <c r="J14" s="25">
        <v>37</v>
      </c>
      <c r="K14" s="26">
        <f t="shared" si="0"/>
        <v>0.70816326530612239</v>
      </c>
      <c r="L14" s="26">
        <f t="shared" si="1"/>
        <v>1.1065051020408163</v>
      </c>
    </row>
    <row r="15" spans="1:12" ht="18" customHeight="1" x14ac:dyDescent="0.25">
      <c r="A15" s="3">
        <v>14</v>
      </c>
      <c r="B15" s="3" t="s">
        <v>25</v>
      </c>
      <c r="C15" s="25">
        <v>35</v>
      </c>
      <c r="D15" s="25">
        <v>8</v>
      </c>
      <c r="E15" s="25">
        <v>10</v>
      </c>
      <c r="F15" s="25">
        <v>17</v>
      </c>
      <c r="G15" s="25">
        <v>33</v>
      </c>
      <c r="H15" s="25">
        <v>46</v>
      </c>
      <c r="I15" s="25">
        <v>-13</v>
      </c>
      <c r="J15" s="25">
        <v>34</v>
      </c>
      <c r="K15" s="26">
        <f t="shared" si="0"/>
        <v>0.73029336734693873</v>
      </c>
      <c r="L15" s="26">
        <f t="shared" si="1"/>
        <v>1.017984693877551</v>
      </c>
    </row>
    <row r="16" spans="1:12" ht="18" customHeight="1" x14ac:dyDescent="0.25">
      <c r="A16" s="3">
        <v>15</v>
      </c>
      <c r="B16" s="3" t="s">
        <v>26</v>
      </c>
      <c r="C16" s="25">
        <v>35</v>
      </c>
      <c r="D16" s="25">
        <v>7</v>
      </c>
      <c r="E16" s="25">
        <v>12</v>
      </c>
      <c r="F16" s="25">
        <v>16</v>
      </c>
      <c r="G16" s="25">
        <v>37</v>
      </c>
      <c r="H16" s="25">
        <v>60</v>
      </c>
      <c r="I16" s="25">
        <v>-23</v>
      </c>
      <c r="J16" s="25">
        <v>33</v>
      </c>
      <c r="K16" s="26">
        <f t="shared" si="0"/>
        <v>0.81881377551020407</v>
      </c>
      <c r="L16" s="26">
        <f t="shared" si="1"/>
        <v>1.3278061224489794</v>
      </c>
    </row>
    <row r="17" spans="1:12" ht="18" customHeight="1" x14ac:dyDescent="0.25">
      <c r="A17" s="3">
        <v>16</v>
      </c>
      <c r="B17" s="3" t="s">
        <v>27</v>
      </c>
      <c r="C17" s="25">
        <v>35</v>
      </c>
      <c r="D17" s="25">
        <v>7</v>
      </c>
      <c r="E17" s="25">
        <v>11</v>
      </c>
      <c r="F17" s="25">
        <v>17</v>
      </c>
      <c r="G17" s="25">
        <v>43</v>
      </c>
      <c r="H17" s="25">
        <v>63</v>
      </c>
      <c r="I17" s="25">
        <v>-20</v>
      </c>
      <c r="J17" s="25">
        <v>32</v>
      </c>
      <c r="K17" s="26">
        <f t="shared" si="0"/>
        <v>0.95159438775510208</v>
      </c>
      <c r="L17" s="26">
        <f t="shared" si="1"/>
        <v>1.3941964285714286</v>
      </c>
    </row>
    <row r="18" spans="1:12" ht="18" customHeight="1" x14ac:dyDescent="0.25">
      <c r="A18" s="3">
        <v>17</v>
      </c>
      <c r="B18" s="3" t="s">
        <v>28</v>
      </c>
      <c r="C18" s="25">
        <v>35</v>
      </c>
      <c r="D18" s="25">
        <v>8</v>
      </c>
      <c r="E18" s="25">
        <v>8</v>
      </c>
      <c r="F18" s="25">
        <v>19</v>
      </c>
      <c r="G18" s="25">
        <v>26</v>
      </c>
      <c r="H18" s="25">
        <v>50</v>
      </c>
      <c r="I18" s="25">
        <v>-24</v>
      </c>
      <c r="J18" s="25">
        <v>32</v>
      </c>
      <c r="K18" s="26">
        <f t="shared" si="0"/>
        <v>0.57538265306122449</v>
      </c>
      <c r="L18" s="26">
        <f t="shared" si="1"/>
        <v>1.1065051020408163</v>
      </c>
    </row>
    <row r="19" spans="1:12" ht="18" customHeight="1" x14ac:dyDescent="0.25">
      <c r="A19" s="3">
        <v>18</v>
      </c>
      <c r="B19" s="3" t="s">
        <v>29</v>
      </c>
      <c r="C19" s="25">
        <v>34</v>
      </c>
      <c r="D19" s="25">
        <v>4</v>
      </c>
      <c r="E19" s="25">
        <v>17</v>
      </c>
      <c r="F19" s="25">
        <v>13</v>
      </c>
      <c r="G19" s="25">
        <v>32</v>
      </c>
      <c r="H19" s="25">
        <v>51</v>
      </c>
      <c r="I19" s="25">
        <v>-19</v>
      </c>
      <c r="J19" s="25">
        <v>29</v>
      </c>
      <c r="K19" s="26">
        <f t="shared" si="0"/>
        <v>0.72899159663865543</v>
      </c>
      <c r="L19" s="26">
        <f t="shared" si="1"/>
        <v>1.1618303571428572</v>
      </c>
    </row>
    <row r="20" spans="1:12" ht="18" customHeight="1" x14ac:dyDescent="0.25">
      <c r="A20" s="3">
        <v>19</v>
      </c>
      <c r="B20" s="3" t="s">
        <v>30</v>
      </c>
      <c r="C20" s="25">
        <v>35</v>
      </c>
      <c r="D20" s="25">
        <v>7</v>
      </c>
      <c r="E20" s="25">
        <v>8</v>
      </c>
      <c r="F20" s="25">
        <v>20</v>
      </c>
      <c r="G20" s="25">
        <v>41</v>
      </c>
      <c r="H20" s="25">
        <v>70</v>
      </c>
      <c r="I20" s="25">
        <v>-29</v>
      </c>
      <c r="J20" s="25">
        <v>29</v>
      </c>
      <c r="K20" s="26">
        <f t="shared" si="0"/>
        <v>0.90733418367346941</v>
      </c>
      <c r="L20" s="26">
        <f t="shared" si="1"/>
        <v>1.5491071428571428</v>
      </c>
    </row>
    <row r="21" spans="1:12" ht="18" customHeight="1" x14ac:dyDescent="0.25">
      <c r="A21" s="3">
        <v>20</v>
      </c>
      <c r="B21" s="3" t="s">
        <v>31</v>
      </c>
      <c r="C21" s="25">
        <v>34</v>
      </c>
      <c r="D21" s="25">
        <v>2</v>
      </c>
      <c r="E21" s="25">
        <v>9</v>
      </c>
      <c r="F21" s="25">
        <v>23</v>
      </c>
      <c r="G21" s="25">
        <v>26</v>
      </c>
      <c r="H21" s="25">
        <v>73</v>
      </c>
      <c r="I21" s="25">
        <v>-47</v>
      </c>
      <c r="J21" s="25">
        <v>15</v>
      </c>
      <c r="K21" s="26">
        <f t="shared" si="0"/>
        <v>0.59230567226890751</v>
      </c>
      <c r="L21" s="26">
        <f t="shared" si="1"/>
        <v>1.6630120798319328</v>
      </c>
    </row>
    <row r="22" spans="1:12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4"/>
      <c r="C24" s="4"/>
      <c r="D24" s="4"/>
      <c r="E24" s="4"/>
      <c r="F24" s="5" t="s">
        <v>32</v>
      </c>
      <c r="G24" s="6">
        <f>SUM(G2:G21)/SUM(C2:C21)</f>
        <v>1.2910662824207493</v>
      </c>
      <c r="H24" s="4"/>
      <c r="I24" s="4"/>
      <c r="J24" s="4"/>
      <c r="K24" s="4"/>
      <c r="L24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7" sqref="A7"/>
      <selection pane="bottomRight" activeCell="C29" sqref="C29"/>
    </sheetView>
  </sheetViews>
  <sheetFormatPr defaultColWidth="8.7109375" defaultRowHeight="15" customHeight="1" x14ac:dyDescent="0.25"/>
  <cols>
    <col min="1" max="1" width="23.7109375" bestFit="1" customWidth="1"/>
    <col min="2" max="2" width="16" customWidth="1"/>
    <col min="3" max="3" width="17.7109375" bestFit="1" customWidth="1"/>
    <col min="4" max="4" width="19.140625" customWidth="1"/>
    <col min="5" max="5" width="18.7109375" bestFit="1" customWidth="1"/>
    <col min="6" max="6" width="16" bestFit="1" customWidth="1"/>
    <col min="7" max="7" width="18.140625" customWidth="1"/>
    <col min="8" max="8" width="20.7109375" customWidth="1"/>
    <col min="9" max="11" width="12" customWidth="1"/>
  </cols>
  <sheetData>
    <row r="1" spans="1:8" ht="31.5" x14ac:dyDescent="0.5">
      <c r="A1" s="24" t="s">
        <v>44</v>
      </c>
      <c r="B1" s="24"/>
      <c r="C1" s="24"/>
      <c r="D1" s="24"/>
      <c r="E1" s="24"/>
      <c r="F1" s="24"/>
      <c r="G1" s="24"/>
      <c r="H1" s="24"/>
    </row>
    <row r="2" spans="1:8" ht="21.75" customHeight="1" x14ac:dyDescent="0.25">
      <c r="B2" s="14" t="s">
        <v>34</v>
      </c>
      <c r="C2" s="14" t="s">
        <v>35</v>
      </c>
      <c r="F2" s="8" t="str">
        <f>_xlfn.CONCAT(B3, " ", "Win")</f>
        <v>Frosinone Win</v>
      </c>
      <c r="G2" s="8" t="str">
        <f>_xlfn.CONCAT(C3, " ", "Win")</f>
        <v>Inter Win</v>
      </c>
      <c r="H2" s="8" t="s">
        <v>37</v>
      </c>
    </row>
    <row r="3" spans="1:8" ht="21.75" customHeight="1" x14ac:dyDescent="0.25">
      <c r="A3" s="13" t="s">
        <v>33</v>
      </c>
      <c r="B3" s="17" t="s">
        <v>27</v>
      </c>
      <c r="C3" s="17" t="s">
        <v>12</v>
      </c>
      <c r="E3" s="7" t="s">
        <v>36</v>
      </c>
      <c r="F3" s="9">
        <f>SUM(E10:E19)</f>
        <v>3.1930610750391386E-2</v>
      </c>
      <c r="G3" s="9">
        <f>SUM(F10:F19)</f>
        <v>0.88455825908040464</v>
      </c>
      <c r="H3" s="9">
        <f>1-SUM(F3:G3)</f>
        <v>8.3511130169203973E-2</v>
      </c>
    </row>
    <row r="4" spans="1:8" ht="21.75" customHeight="1" x14ac:dyDescent="0.25">
      <c r="A4" s="13" t="s">
        <v>38</v>
      </c>
      <c r="B4" s="16">
        <f>_xlfn.XLOOKUP(B3,Teams,ATT) * _xlfn.XLOOKUP(C3,Teams,DEF) * avg</f>
        <v>0.51657981049562673</v>
      </c>
      <c r="C4" s="16">
        <f>_xlfn.XLOOKUP(C3,Teams,ATT) * _xlfn.XLOOKUP(B3,Teams,DEF) * avg</f>
        <v>3.2265688775510211</v>
      </c>
      <c r="E4" s="7" t="s">
        <v>39</v>
      </c>
      <c r="F4" s="10">
        <f>1/F3</f>
        <v>31.317910196495149</v>
      </c>
      <c r="G4" s="10">
        <f t="shared" ref="G4:H4" si="0">1/G3</f>
        <v>1.1305077870615439</v>
      </c>
      <c r="H4" s="10">
        <f t="shared" si="0"/>
        <v>11.974451764380092</v>
      </c>
    </row>
    <row r="5" spans="1:8" ht="21.75" customHeight="1" x14ac:dyDescent="0.25">
      <c r="B5" s="15"/>
      <c r="C5" s="15"/>
    </row>
    <row r="6" spans="1:8" ht="21.75" customHeight="1" x14ac:dyDescent="0.25"/>
    <row r="7" spans="1:8" ht="21.75" customHeight="1" x14ac:dyDescent="0.25">
      <c r="B7" s="20" t="s">
        <v>40</v>
      </c>
      <c r="C7" s="20"/>
      <c r="D7" s="20"/>
      <c r="E7" s="20"/>
      <c r="F7" s="20"/>
    </row>
    <row r="8" spans="1:8" ht="21.75" customHeight="1" x14ac:dyDescent="0.25">
      <c r="A8" s="21" t="s">
        <v>41</v>
      </c>
      <c r="B8" s="8" t="s">
        <v>42</v>
      </c>
      <c r="C8" s="8" t="str">
        <f>_xlfn.CONCAT(B3, " ", "Goals")</f>
        <v>Frosinone Goals</v>
      </c>
      <c r="D8" s="8" t="str">
        <f>_xlfn.CONCAT(C3, " ", "Goals")</f>
        <v>Inter Goals</v>
      </c>
      <c r="E8" s="8" t="str">
        <f>_xlfn.CONCAT(B3, " ", "Win %")</f>
        <v>Frosinone Win %</v>
      </c>
      <c r="F8" s="8" t="str">
        <f>_xlfn.CONCAT(C3, " ", "Win %")</f>
        <v>Inter Win %</v>
      </c>
    </row>
    <row r="9" spans="1:8" ht="21.75" customHeight="1" x14ac:dyDescent="0.25">
      <c r="A9" s="21"/>
      <c r="B9" s="11">
        <v>0</v>
      </c>
      <c r="C9" s="19">
        <f>_xlfn.POISSON.DIST(B9,$B$4,FALSE)</f>
        <v>0.59655740213657571</v>
      </c>
      <c r="D9" s="19">
        <f>_xlfn.POISSON.DIST(B9,$C$4,FALSE)</f>
        <v>3.9693458524384918E-2</v>
      </c>
      <c r="E9" s="9"/>
      <c r="F9" s="9"/>
    </row>
    <row r="10" spans="1:8" ht="21.75" customHeight="1" x14ac:dyDescent="0.25">
      <c r="A10" s="21"/>
      <c r="B10" s="11">
        <v>1</v>
      </c>
      <c r="C10" s="19">
        <f t="shared" ref="C10:C19" si="1">_xlfn.POISSON.DIST(B10,$B$4,FALSE)</f>
        <v>0.30816950974547569</v>
      </c>
      <c r="D10" s="19">
        <f t="shared" ref="D10:D19" si="2">_xlfn.POISSON.DIST(B10,$C$4,FALSE)</f>
        <v>0.12807367791714266</v>
      </c>
      <c r="E10" s="19">
        <f>C10*SUM(D9:$D$9)</f>
        <v>1.2232313653562072E-2</v>
      </c>
      <c r="F10" s="18">
        <f>D10*SUM($C$9:C9)</f>
        <v>7.6403300580327155E-2</v>
      </c>
    </row>
    <row r="11" spans="1:8" ht="21.75" customHeight="1" x14ac:dyDescent="0.25">
      <c r="A11" s="21"/>
      <c r="B11" s="11">
        <v>2</v>
      </c>
      <c r="C11" s="19">
        <f t="shared" si="1"/>
        <v>7.9597073472424007E-2</v>
      </c>
      <c r="D11" s="19">
        <f t="shared" si="2"/>
        <v>0.20661927160047303</v>
      </c>
      <c r="E11" s="19">
        <f>C11*SUM(D$9:$D10)</f>
        <v>1.3353773085594453E-2</v>
      </c>
      <c r="F11" s="18">
        <f>D11*SUM($C$9:C10)</f>
        <v>0.1869340155304148</v>
      </c>
    </row>
    <row r="12" spans="1:8" ht="21.75" customHeight="1" x14ac:dyDescent="0.25">
      <c r="A12" s="21"/>
      <c r="B12" s="11">
        <v>3</v>
      </c>
      <c r="C12" s="19">
        <f t="shared" si="1"/>
        <v>1.3706080376797091E-2</v>
      </c>
      <c r="D12" s="19">
        <f t="shared" si="2"/>
        <v>0.22222377041611593</v>
      </c>
      <c r="E12" s="19">
        <f>C12*SUM(D$9:$D11)</f>
        <v>5.1313702006040131E-3</v>
      </c>
      <c r="F12" s="18">
        <f>D12*SUM($C$9:C11)</f>
        <v>0.2187401873364892</v>
      </c>
    </row>
    <row r="13" spans="1:8" ht="21.75" customHeight="1" x14ac:dyDescent="0.25">
      <c r="A13" s="21"/>
      <c r="B13" s="11">
        <v>4</v>
      </c>
      <c r="C13" s="19">
        <f t="shared" si="1"/>
        <v>1.7700711009209175E-3</v>
      </c>
      <c r="D13" s="19">
        <f t="shared" si="2"/>
        <v>0.17925507536917074</v>
      </c>
      <c r="E13" s="19">
        <f>C13*SUM(D$9:$D12)</f>
        <v>1.0560424354039836E-3</v>
      </c>
      <c r="F13" s="18">
        <f>D13*SUM($C$9:C12)</f>
        <v>0.17890195465335768</v>
      </c>
    </row>
    <row r="14" spans="1:8" ht="21.75" customHeight="1" x14ac:dyDescent="0.25">
      <c r="A14" s="21"/>
      <c r="B14" s="11">
        <v>5</v>
      </c>
      <c r="C14" s="19">
        <f t="shared" si="1"/>
        <v>1.8287659877550265E-4</v>
      </c>
      <c r="D14" s="19">
        <f t="shared" si="2"/>
        <v>0.11567576946584578</v>
      </c>
      <c r="E14" s="19">
        <f>C14*SUM(D$9:$D13)</f>
        <v>1.4188759872802635E-4</v>
      </c>
      <c r="F14" s="18">
        <f>D14*SUM($C$9:C13)</f>
        <v>0.11565265014012187</v>
      </c>
    </row>
    <row r="15" spans="1:8" ht="21.75" customHeight="1" x14ac:dyDescent="0.25">
      <c r="A15" s="21"/>
      <c r="B15" s="11">
        <v>6</v>
      </c>
      <c r="C15" s="19">
        <f t="shared" si="1"/>
        <v>1.574505978992231E-5</v>
      </c>
      <c r="D15" s="19">
        <f t="shared" si="2"/>
        <v>6.2205972940877444E-2</v>
      </c>
      <c r="E15" s="19">
        <f>C15*SUM(D$9:$D14)</f>
        <v>1.4037366716918901E-5</v>
      </c>
      <c r="F15" s="18">
        <f>D15*SUM($C$9:C14)</f>
        <v>6.2204916274823933E-2</v>
      </c>
    </row>
    <row r="16" spans="1:8" ht="21.75" customHeight="1" x14ac:dyDescent="0.25">
      <c r="A16" s="21"/>
      <c r="B16" s="11">
        <v>7</v>
      </c>
      <c r="C16" s="19">
        <f t="shared" si="1"/>
        <v>1.1619400003600562E-6</v>
      </c>
      <c r="D16" s="19">
        <f t="shared" si="2"/>
        <v>2.8673122326973739E-2</v>
      </c>
      <c r="E16" s="19">
        <f>C16*SUM(D$9:$D15)</f>
        <v>1.1081967851475488E-6</v>
      </c>
      <c r="F16" s="18">
        <f>D16*SUM($C$9:C15)</f>
        <v>2.8673086729027394E-2</v>
      </c>
    </row>
    <row r="17" spans="1:14" ht="21.75" customHeight="1" x14ac:dyDescent="0.25">
      <c r="A17" s="21"/>
      <c r="B17" s="11">
        <v>8</v>
      </c>
      <c r="C17" s="19">
        <f t="shared" si="1"/>
        <v>7.502934314916052E-8</v>
      </c>
      <c r="D17" s="19">
        <f t="shared" si="2"/>
        <v>1.156447551530336E-2</v>
      </c>
      <c r="E17" s="19">
        <f>C17*SUM(D$9:$D16)</f>
        <v>7.3710336192151056E-8</v>
      </c>
      <c r="F17" s="18">
        <f>D17*SUM($C$9:C16)</f>
        <v>1.1564474595126823E-2</v>
      </c>
    </row>
    <row r="18" spans="1:14" ht="21.75" customHeight="1" x14ac:dyDescent="0.25">
      <c r="A18" s="21"/>
      <c r="B18" s="11">
        <v>9</v>
      </c>
      <c r="C18" s="19">
        <f t="shared" si="1"/>
        <v>4.3065159850671935E-9</v>
      </c>
      <c r="D18" s="19">
        <f t="shared" si="2"/>
        <v>4.1459529758754061E-3</v>
      </c>
      <c r="E18" s="19">
        <f>C18*SUM(D$9:$D17)</f>
        <v>4.2806105433000582E-9</v>
      </c>
      <c r="F18" s="18">
        <f>D18*SUM($C$9:C17)</f>
        <v>4.1459529570532037E-3</v>
      </c>
    </row>
    <row r="19" spans="1:14" ht="21.75" customHeight="1" x14ac:dyDescent="0.25">
      <c r="A19" s="21"/>
      <c r="B19" s="11">
        <v>10</v>
      </c>
      <c r="C19" s="19">
        <f t="shared" si="1"/>
        <v>2.2246592114623959E-10</v>
      </c>
      <c r="D19" s="19">
        <f t="shared" si="2"/>
        <v>1.3377202839749615E-3</v>
      </c>
      <c r="E19" s="19">
        <f>C19*SUM(D$9:$D18)</f>
        <v>2.220500315741595E-10</v>
      </c>
      <c r="F19" s="18">
        <f>D19*SUM($C$9:C18)</f>
        <v>1.3377202836627623E-3</v>
      </c>
    </row>
    <row r="20" spans="1:14" ht="21.75" customHeight="1" x14ac:dyDescent="0.25"/>
    <row r="21" spans="1:14" ht="21.75" customHeight="1" x14ac:dyDescent="0.25"/>
    <row r="22" spans="1:14" ht="21.75" customHeight="1" x14ac:dyDescent="0.35">
      <c r="C22" s="23" t="str">
        <f>B3</f>
        <v>Frosinone</v>
      </c>
      <c r="D22" s="23"/>
      <c r="E22" s="23"/>
      <c r="F22" s="23"/>
      <c r="G22" s="23"/>
      <c r="H22" s="23"/>
      <c r="I22" s="23"/>
    </row>
    <row r="23" spans="1:14" ht="21.75" customHeight="1" x14ac:dyDescent="0.25">
      <c r="A23" s="21" t="s">
        <v>43</v>
      </c>
      <c r="C23" s="12"/>
      <c r="D23" s="8">
        <v>0</v>
      </c>
      <c r="E23" s="8">
        <v>1</v>
      </c>
      <c r="F23" s="8">
        <v>2</v>
      </c>
      <c r="G23" s="8">
        <v>3</v>
      </c>
      <c r="H23" s="8">
        <v>4</v>
      </c>
      <c r="I23" s="8">
        <v>5</v>
      </c>
      <c r="J23" s="8">
        <v>6</v>
      </c>
      <c r="K23" s="8">
        <v>7</v>
      </c>
      <c r="L23" s="8">
        <v>8</v>
      </c>
      <c r="M23" s="8">
        <v>9</v>
      </c>
      <c r="N23" s="8">
        <v>10</v>
      </c>
    </row>
    <row r="24" spans="1:14" ht="21.75" customHeight="1" x14ac:dyDescent="0.25">
      <c r="A24" s="21"/>
      <c r="B24" s="22" t="str">
        <f>C3</f>
        <v>Inter</v>
      </c>
      <c r="C24" s="8">
        <v>0</v>
      </c>
      <c r="D24" s="18">
        <f>_xlfn.XLOOKUP(D$23,$B$9:$B$19,$C$9:$C$19)*_xlfn.XLOOKUP($C24,$B$9:$B$19,$D$9:$D$19)</f>
        <v>2.3679426499122982E-2</v>
      </c>
      <c r="E24" s="18">
        <f t="shared" ref="E24:N24" si="3">_xlfn.XLOOKUP(E$23,$B$9:$B$19,$C$9:$C$19)*_xlfn.XLOOKUP($C24,$B$9:$B$19,$D$9:$D$19)</f>
        <v>1.2232313653562072E-2</v>
      </c>
      <c r="F24" s="18">
        <f t="shared" si="3"/>
        <v>3.1594831345400812E-3</v>
      </c>
      <c r="G24" s="18">
        <f t="shared" si="3"/>
        <v>5.4404173296828133E-4</v>
      </c>
      <c r="H24" s="18">
        <f t="shared" si="3"/>
        <v>7.0260243829616784E-5</v>
      </c>
      <c r="I24" s="18">
        <f t="shared" si="3"/>
        <v>7.2590046885759963E-6</v>
      </c>
      <c r="J24" s="18">
        <f t="shared" si="3"/>
        <v>6.2497587773524196E-7</v>
      </c>
      <c r="K24" s="18">
        <f t="shared" si="3"/>
        <v>4.6121417212115688E-8</v>
      </c>
      <c r="L24" s="18">
        <f t="shared" si="3"/>
        <v>2.9781741204030467E-9</v>
      </c>
      <c r="M24" s="18">
        <f t="shared" si="3"/>
        <v>1.709405136378653E-10</v>
      </c>
      <c r="N24" s="18">
        <f t="shared" si="3"/>
        <v>8.8304418141073472E-12</v>
      </c>
    </row>
    <row r="25" spans="1:14" ht="21.75" customHeight="1" x14ac:dyDescent="0.25">
      <c r="A25" s="21"/>
      <c r="B25" s="22"/>
      <c r="C25" s="8">
        <v>1</v>
      </c>
      <c r="D25" s="18">
        <f t="shared" ref="D25:N34" si="4">_xlfn.XLOOKUP(D$23,$B$9:$B$19,$C$9:$C$19)*_xlfn.XLOOKUP($C25,$B$9:$B$19,$D$9:$D$19)</f>
        <v>7.6403300580327155E-2</v>
      </c>
      <c r="E25" s="18">
        <f t="shared" si="4"/>
        <v>3.9468402535025808E-2</v>
      </c>
      <c r="F25" s="18">
        <f t="shared" si="4"/>
        <v>1.0194289951054373E-2</v>
      </c>
      <c r="G25" s="18">
        <f t="shared" si="4"/>
        <v>1.7553881236843799E-3</v>
      </c>
      <c r="H25" s="18">
        <f t="shared" si="4"/>
        <v>2.266995160697877E-4</v>
      </c>
      <c r="I25" s="18">
        <f t="shared" si="4"/>
        <v>2.3421678610156253E-5</v>
      </c>
      <c r="J25" s="18">
        <f t="shared" si="4"/>
        <v>2.0165277163206641E-6</v>
      </c>
      <c r="K25" s="18">
        <f t="shared" si="4"/>
        <v>1.4881392936515848E-7</v>
      </c>
      <c r="L25" s="18">
        <f t="shared" si="4"/>
        <v>9.6092839288203586E-9</v>
      </c>
      <c r="M25" s="18">
        <f t="shared" si="4"/>
        <v>5.5155134121652212E-10</v>
      </c>
      <c r="N25" s="18">
        <f t="shared" si="4"/>
        <v>2.8492028732423947E-11</v>
      </c>
    </row>
    <row r="26" spans="1:14" ht="21.75" customHeight="1" x14ac:dyDescent="0.25">
      <c r="A26" s="21"/>
      <c r="B26" s="22"/>
      <c r="C26" s="8">
        <v>2</v>
      </c>
      <c r="D26" s="18">
        <f t="shared" si="4"/>
        <v>0.12326025589732974</v>
      </c>
      <c r="E26" s="18">
        <f t="shared" si="4"/>
        <v>6.3673759633085067E-2</v>
      </c>
      <c r="F26" s="18">
        <f t="shared" si="4"/>
        <v>1.6446289342401582E-2</v>
      </c>
      <c r="G26" s="18">
        <f t="shared" si="4"/>
        <v>2.8319403439513516E-3</v>
      </c>
      <c r="H26" s="18">
        <f t="shared" si="4"/>
        <v>3.6573080155332733E-4</v>
      </c>
      <c r="I26" s="18">
        <f t="shared" si="4"/>
        <v>3.7785829631766313E-5</v>
      </c>
      <c r="J26" s="18">
        <f t="shared" si="4"/>
        <v>3.2532327850996448E-6</v>
      </c>
      <c r="K26" s="18">
        <f t="shared" si="4"/>
        <v>2.4007919651784816E-7</v>
      </c>
      <c r="L26" s="18">
        <f t="shared" si="4"/>
        <v>1.5502508230141487E-8</v>
      </c>
      <c r="M26" s="18">
        <f t="shared" si="4"/>
        <v>8.8980919597037704E-10</v>
      </c>
      <c r="N26" s="18">
        <f t="shared" si="4"/>
        <v>4.5965746583164294E-11</v>
      </c>
    </row>
    <row r="27" spans="1:14" ht="21.75" customHeight="1" x14ac:dyDescent="0.25">
      <c r="A27" s="21"/>
      <c r="B27" s="22"/>
      <c r="C27" s="8">
        <v>3</v>
      </c>
      <c r="D27" s="18">
        <f t="shared" si="4"/>
        <v>0.13256923517243294</v>
      </c>
      <c r="E27" s="18">
        <f t="shared" si="4"/>
        <v>6.848259038292559E-2</v>
      </c>
      <c r="F27" s="18">
        <f t="shared" si="4"/>
        <v>1.7688361781130663E-2</v>
      </c>
      <c r="G27" s="18">
        <f t="shared" si="4"/>
        <v>3.0458168589581887E-3</v>
      </c>
      <c r="H27" s="18">
        <f t="shared" si="4"/>
        <v>3.9335187395125155E-4</v>
      </c>
      <c r="I27" s="18">
        <f t="shared" si="4"/>
        <v>4.0639527300767451E-5</v>
      </c>
      <c r="J27" s="18">
        <f t="shared" si="4"/>
        <v>3.4989265519437141E-6</v>
      </c>
      <c r="K27" s="18">
        <f t="shared" si="4"/>
        <v>2.5821068787731478E-7</v>
      </c>
      <c r="L27" s="18">
        <f t="shared" si="4"/>
        <v>1.6673303526451028E-8</v>
      </c>
      <c r="M27" s="18">
        <f t="shared" si="4"/>
        <v>9.5701021955890546E-10</v>
      </c>
      <c r="N27" s="18">
        <f t="shared" si="4"/>
        <v>4.9437215786211695E-11</v>
      </c>
    </row>
    <row r="28" spans="1:14" ht="21.75" customHeight="1" x14ac:dyDescent="0.25">
      <c r="A28" s="21"/>
      <c r="B28" s="22"/>
      <c r="C28" s="8">
        <v>4</v>
      </c>
      <c r="D28" s="18">
        <f t="shared" si="4"/>
        <v>0.10693594208202857</v>
      </c>
      <c r="E28" s="18">
        <f t="shared" si="4"/>
        <v>5.5240948695905637E-2</v>
      </c>
      <c r="F28" s="18">
        <f t="shared" si="4"/>
        <v>1.4268179404464785E-2</v>
      </c>
      <c r="G28" s="18">
        <f t="shared" si="4"/>
        <v>2.4568844709586747E-3</v>
      </c>
      <c r="H28" s="18">
        <f t="shared" si="4"/>
        <v>3.1729422860437005E-4</v>
      </c>
      <c r="I28" s="18">
        <f t="shared" si="4"/>
        <v>3.2781558496760324E-5</v>
      </c>
      <c r="J28" s="18">
        <f t="shared" si="4"/>
        <v>2.8223818793346232E-6</v>
      </c>
      <c r="K28" s="18">
        <f t="shared" si="4"/>
        <v>2.0828364233899615E-7</v>
      </c>
      <c r="L28" s="18">
        <f t="shared" si="4"/>
        <v>1.3449390561102143E-8</v>
      </c>
      <c r="M28" s="18">
        <f t="shared" si="4"/>
        <v>7.7196484748175831E-10</v>
      </c>
      <c r="N28" s="18">
        <f t="shared" si="4"/>
        <v>3.9878145462141172E-11</v>
      </c>
    </row>
    <row r="29" spans="1:14" ht="21.75" customHeight="1" x14ac:dyDescent="0.25">
      <c r="A29" s="21"/>
      <c r="B29" s="22"/>
      <c r="C29" s="8">
        <v>5</v>
      </c>
      <c r="D29" s="18">
        <f t="shared" si="4"/>
        <v>6.9007236522694387E-2</v>
      </c>
      <c r="E29" s="18">
        <f t="shared" si="4"/>
        <v>3.5647745165720363E-2</v>
      </c>
      <c r="F29" s="18">
        <f t="shared" si="4"/>
        <v>9.2074527211521082E-3</v>
      </c>
      <c r="G29" s="18">
        <f t="shared" si="4"/>
        <v>1.5854613939467329E-3</v>
      </c>
      <c r="H29" s="18">
        <f t="shared" si="4"/>
        <v>2.0475433660828389E-4</v>
      </c>
      <c r="I29" s="18">
        <f t="shared" si="4"/>
        <v>2.1154391280653017E-5</v>
      </c>
      <c r="J29" s="18">
        <f t="shared" si="4"/>
        <v>1.8213219064850114E-6</v>
      </c>
      <c r="K29" s="18">
        <f t="shared" si="4"/>
        <v>1.3440830361479463E-7</v>
      </c>
      <c r="L29" s="18">
        <f t="shared" si="4"/>
        <v>8.6790770012961267E-9</v>
      </c>
      <c r="M29" s="18">
        <f t="shared" si="4"/>
        <v>4.981595502896124E-10</v>
      </c>
      <c r="N29" s="18">
        <f t="shared" si="4"/>
        <v>2.5733916608519434E-11</v>
      </c>
    </row>
    <row r="30" spans="1:14" ht="21.75" customHeight="1" x14ac:dyDescent="0.25">
      <c r="C30" s="8">
        <v>6</v>
      </c>
      <c r="D30" s="18">
        <f t="shared" si="4"/>
        <v>3.7109433614987974E-2</v>
      </c>
      <c r="E30" s="18">
        <f t="shared" si="4"/>
        <v>1.9169984184430527E-2</v>
      </c>
      <c r="F30" s="18">
        <f t="shared" si="4"/>
        <v>4.9514133985986419E-3</v>
      </c>
      <c r="G30" s="18">
        <f t="shared" si="4"/>
        <v>8.5260006504453119E-4</v>
      </c>
      <c r="H30" s="18">
        <f t="shared" si="4"/>
        <v>1.1010899500731574E-4</v>
      </c>
      <c r="I30" s="18">
        <f t="shared" si="4"/>
        <v>1.1376016754948619E-5</v>
      </c>
      <c r="J30" s="18">
        <f t="shared" si="4"/>
        <v>9.7943676324440474E-7</v>
      </c>
      <c r="K30" s="18">
        <f t="shared" si="4"/>
        <v>7.2279608221320779E-8</v>
      </c>
      <c r="L30" s="18">
        <f t="shared" si="4"/>
        <v>4.6672732897084876E-9</v>
      </c>
      <c r="M30" s="18">
        <f t="shared" si="4"/>
        <v>2.6789101683654601E-10</v>
      </c>
      <c r="N30" s="18">
        <f t="shared" si="4"/>
        <v>1.3838709071090355E-11</v>
      </c>
    </row>
    <row r="31" spans="1:14" ht="21.75" customHeight="1" x14ac:dyDescent="0.25">
      <c r="C31" s="8">
        <v>7</v>
      </c>
      <c r="D31" s="18">
        <f t="shared" si="4"/>
        <v>1.71051633665237E-2</v>
      </c>
      <c r="E31" s="18">
        <f t="shared" si="4"/>
        <v>8.8361820503755507E-3</v>
      </c>
      <c r="F31" s="18">
        <f t="shared" si="4"/>
        <v>2.2822966245439301E-3</v>
      </c>
      <c r="G31" s="18">
        <f t="shared" si="4"/>
        <v>3.9299611926723731E-4</v>
      </c>
      <c r="H31" s="18">
        <f t="shared" si="4"/>
        <v>5.0753465204146547E-5</v>
      </c>
      <c r="I31" s="18">
        <f t="shared" si="4"/>
        <v>5.2436430874308833E-6</v>
      </c>
      <c r="J31" s="18">
        <f t="shared" si="4"/>
        <v>4.5146002540195782E-7</v>
      </c>
      <c r="K31" s="18">
        <f t="shared" si="4"/>
        <v>3.3316447766927803E-8</v>
      </c>
      <c r="L31" s="18">
        <f t="shared" si="4"/>
        <v>2.1513255342283686E-9</v>
      </c>
      <c r="M31" s="18">
        <f t="shared" si="4"/>
        <v>1.2348125964289946E-10</v>
      </c>
      <c r="N31" s="18">
        <f t="shared" si="4"/>
        <v>6.3787925706090216E-12</v>
      </c>
    </row>
    <row r="32" spans="1:14" ht="21.75" customHeight="1" x14ac:dyDescent="0.25">
      <c r="C32" s="8">
        <v>8</v>
      </c>
      <c r="D32" s="18">
        <f t="shared" si="4"/>
        <v>6.8988734704814106E-3</v>
      </c>
      <c r="E32" s="18">
        <f t="shared" si="4"/>
        <v>3.5638187500145937E-3</v>
      </c>
      <c r="F32" s="18">
        <f t="shared" si="4"/>
        <v>9.2049840726165003E-4</v>
      </c>
      <c r="G32" s="18">
        <f t="shared" si="4"/>
        <v>1.585036309282498E-4</v>
      </c>
      <c r="H32" s="18">
        <f t="shared" si="4"/>
        <v>2.0469943906946013E-5</v>
      </c>
      <c r="I32" s="18">
        <f t="shared" si="4"/>
        <v>2.1148719488612569E-6</v>
      </c>
      <c r="J32" s="18">
        <f t="shared" si="4"/>
        <v>1.8208335842754401E-7</v>
      </c>
      <c r="K32" s="18">
        <f t="shared" si="4"/>
        <v>1.3437226684415448E-8</v>
      </c>
      <c r="L32" s="18">
        <f t="shared" si="4"/>
        <v>8.6767500177776076E-10</v>
      </c>
      <c r="M32" s="18">
        <f t="shared" si="4"/>
        <v>4.9802598665572093E-11</v>
      </c>
      <c r="N32" s="18">
        <f t="shared" si="4"/>
        <v>2.5727016980850958E-12</v>
      </c>
    </row>
    <row r="33" spans="3:14" ht="21.75" customHeight="1" x14ac:dyDescent="0.25">
      <c r="C33" s="8">
        <v>9</v>
      </c>
      <c r="D33" s="18">
        <f t="shared" si="4"/>
        <v>2.4732989366686373E-3</v>
      </c>
      <c r="E33" s="18">
        <f t="shared" si="4"/>
        <v>1.27765629600332E-3</v>
      </c>
      <c r="F33" s="18">
        <f t="shared" si="4"/>
        <v>3.3000572363396966E-4</v>
      </c>
      <c r="G33" s="18">
        <f t="shared" si="4"/>
        <v>5.6824764725769407E-5</v>
      </c>
      <c r="H33" s="18">
        <f t="shared" si="4"/>
        <v>7.3386315483741345E-6</v>
      </c>
      <c r="I33" s="18">
        <f t="shared" si="4"/>
        <v>7.5819777891126789E-7</v>
      </c>
      <c r="J33" s="18">
        <f t="shared" si="4"/>
        <v>6.5278277491364603E-8</v>
      </c>
      <c r="K33" s="18">
        <f t="shared" si="4"/>
        <v>4.8173486022814457E-9</v>
      </c>
      <c r="L33" s="18">
        <f t="shared" si="4"/>
        <v>3.1106812850723909E-10</v>
      </c>
      <c r="M33" s="18">
        <f t="shared" si="4"/>
        <v>1.7854612763944336E-11</v>
      </c>
      <c r="N33" s="18">
        <f t="shared" si="4"/>
        <v>9.2233324780711555E-13</v>
      </c>
    </row>
    <row r="34" spans="3:14" ht="21.75" customHeight="1" x14ac:dyDescent="0.25">
      <c r="C34" s="8">
        <v>10</v>
      </c>
      <c r="D34" s="18">
        <f t="shared" si="4"/>
        <v>7.9802693739350534E-4</v>
      </c>
      <c r="E34" s="18">
        <f t="shared" si="4"/>
        <v>4.122446040891424E-4</v>
      </c>
      <c r="F34" s="18">
        <f t="shared" si="4"/>
        <v>1.0647861972910692E-4</v>
      </c>
      <c r="G34" s="18">
        <f t="shared" si="4"/>
        <v>1.8334901733832651E-5</v>
      </c>
      <c r="H34" s="18">
        <f t="shared" si="4"/>
        <v>2.3678600157798024E-6</v>
      </c>
      <c r="I34" s="18">
        <f t="shared" si="4"/>
        <v>2.446377356463405E-7</v>
      </c>
      <c r="J34" s="18">
        <f t="shared" si="4"/>
        <v>2.106248585337762E-8</v>
      </c>
      <c r="K34" s="18">
        <f t="shared" si="4"/>
        <v>1.5543507072435213E-9</v>
      </c>
      <c r="L34" s="18">
        <f t="shared" si="4"/>
        <v>1.0036827422394984E-10</v>
      </c>
      <c r="M34" s="18">
        <f t="shared" si="4"/>
        <v>5.7609137864867976E-12</v>
      </c>
      <c r="N34" s="18">
        <f t="shared" si="4"/>
        <v>2.9759717521049904E-13</v>
      </c>
    </row>
    <row r="35" spans="3:14" ht="21.75" customHeight="1" x14ac:dyDescent="0.25"/>
    <row r="36" spans="3:14" ht="21.75" customHeight="1" x14ac:dyDescent="0.25"/>
    <row r="37" spans="3:14" ht="21.75" customHeight="1" x14ac:dyDescent="0.25"/>
    <row r="38" spans="3:14" ht="21.75" customHeight="1" x14ac:dyDescent="0.25"/>
    <row r="39" spans="3:14" ht="21.75" customHeight="1" x14ac:dyDescent="0.25"/>
    <row r="40" spans="3:14" ht="21.75" customHeight="1" x14ac:dyDescent="0.25"/>
  </sheetData>
  <sheetProtection algorithmName="SHA-512" hashValue="yjee3g/CdPjTLAjZjY/CStLU3TpG98ftzdnh93fMIpV2b7LuTY6zpwfb+KOEvz28nlcHpZJ16FUlsPCdsY21XQ==" saltValue="XkYtPZB88ohQrZAkxTf/mw==" spinCount="100000" sheet="1" objects="1" scenarios="1" selectLockedCells="1" selectUnlockedCells="1"/>
  <mergeCells count="6">
    <mergeCell ref="A1:H1"/>
    <mergeCell ref="B7:F7"/>
    <mergeCell ref="A8:A19"/>
    <mergeCell ref="A23:A29"/>
    <mergeCell ref="B24:B29"/>
    <mergeCell ref="C22:I22"/>
  </mergeCells>
  <conditionalFormatting sqref="D24:N34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'Data Source'!$B$2:$B$21</xm:f>
          </x14:formula1>
          <x14:formula2>
            <xm:f>0</xm:f>
          </x14:formula2>
          <xm:sqref>B3:C3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Data Source</vt:lpstr>
      <vt:lpstr>Predictive Model</vt:lpstr>
      <vt:lpstr>ATT</vt:lpstr>
      <vt:lpstr>avg</vt:lpstr>
      <vt:lpstr>DEF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HARONE JAAVED</cp:lastModifiedBy>
  <dcterms:modified xsi:type="dcterms:W3CDTF">2026-03-21T11:25:24Z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2026-03-21T09:58:41Z</dcterms:created>
  <dc:creator>openpyxl</dc:creator>
  <dc:description/>
  <dc:language>en-US</dc:language>
  <cp:lastModifiedBy/>
  <dcterms:modified xsi:type="dcterms:W3CDTF">2026-03-21T10:40:35Z</dcterms:modified>
  <cp:revision>0</cp:revision>
  <dc:subject/>
  <dc:title/>
</cp:coreProperties>
</file>